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25be5654ea4a76" /></Relationships>
</file>

<file path=xl/workbook.xml><?xml version="1.0" encoding="utf-8"?>
<x:workbook xmlns:x="http://schemas.openxmlformats.org/spreadsheetml/2006/main">
  <x:sheets>
    <x:sheet xmlns:r="http://schemas.openxmlformats.org/officeDocument/2006/relationships" name="Summary" sheetId="1" r:id="R06bc81ee380f4776"/>
    <x:sheet xmlns:r="http://schemas.openxmlformats.org/officeDocument/2006/relationships" name="Source Register" sheetId="2" r:id="R03275b8276af4bf9"/>
    <x:sheet xmlns:r="http://schemas.openxmlformats.org/officeDocument/2006/relationships" name="Calculation" sheetId="3" r:id="Rc0f1da9b334140d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0"/>
    <x:numFmt numFmtId="202" formatCode="#,##0"/>
    <x:numFmt numFmtId="203" formatCode="0.0%"/>
  </x:numFmts>
  <x:fonts count="14">
    <x:font>
      <x:sz val="11"/>
      <x:name val="Carlito"/>
    </x:font>
    <x:font>
      <x:b/>
      <x:sz val="18"/>
      <x:color rgb="FFFFFFFF"/>
      <x:name val="Carlito"/>
    </x:font>
    <x:font>
      <x:i/>
      <x:sz val="10"/>
      <x:color rgb="FF17365D"/>
      <x:name val="Carlito"/>
    </x:font>
    <x:font>
      <x:b/>
      <x:sz val="11"/>
      <x:color rgb="FF17365D"/>
      <x:name val="Carlito"/>
    </x:font>
    <x:font>
      <x:b/>
      <x:sz val="11"/>
      <x:color rgb="FF0F766E"/>
      <x:name val="Carlito"/>
    </x:font>
    <x:font>
      <x:b/>
      <x:sz val="11"/>
      <x:color rgb="FFFFFFFF"/>
      <x:name val="Carlito"/>
    </x:font>
    <x:font>
      <x:b/>
      <x:sz val="11"/>
      <x:color rgb="FF9A3412"/>
      <x:name val="Carlito"/>
    </x:font>
    <x:font>
      <x:b/>
      <x:sz val="18"/>
      <x:color rgb="FFFFFFFF"/>
      <x:name val="Arial"/>
    </x:font>
    <x:font>
      <x:i/>
      <x:sz val="10"/>
      <x:color rgb="FF17365D"/>
      <x:name val="Arial"/>
    </x:font>
    <x:font>
      <x:sz val="11"/>
      <x:name val="Arial"/>
    </x:font>
    <x:font>
      <x:b/>
      <x:sz val="11"/>
      <x:color rgb="FF17365D"/>
      <x:name val="Arial"/>
    </x:font>
    <x:font>
      <x:b/>
      <x:sz val="11"/>
      <x:color rgb="FF0F766E"/>
      <x:name val="Arial"/>
    </x:font>
    <x:font>
      <x:b/>
      <x:sz val="11"/>
      <x:color rgb="FFFFFFFF"/>
      <x:name val="Arial"/>
    </x:font>
    <x:font>
      <x:b/>
      <x:sz val="11"/>
      <x:color rgb="FF9A3412"/>
      <x:name val="Arial"/>
    </x:font>
  </x:fonts>
  <x:fills count="8">
    <x:fill>
      <x:patternFill patternType="none"/>
    </x:fill>
    <x:fill>
      <x:patternFill patternType="gray125"/>
    </x:fill>
    <x:fill>
      <x:patternFill patternType="solid">
        <x:fgColor rgb="FF17365D"/>
      </x:patternFill>
    </x:fill>
    <x:fill>
      <x:patternFill patternType="solid">
        <x:fgColor rgb="FFDCE6F1"/>
      </x:patternFill>
    </x:fill>
    <x:fill>
      <x:patternFill patternType="solid">
        <x:fgColor rgb="FFF8FAFC"/>
      </x:patternFill>
    </x:fill>
    <x:fill>
      <x:patternFill patternType="solid">
        <x:fgColor rgb="FFDCFCE7"/>
      </x:patternFill>
    </x:fill>
    <x:fill>
      <x:patternFill patternType="solid">
        <x:fgColor rgb="FF244A75"/>
      </x:patternFill>
    </x:fill>
    <x:fill>
      <x:patternFill patternType="solid">
        <x:fgColor rgb="FFFFF7ED"/>
      </x:patternFill>
    </x:fill>
  </x:fills>
  <x:borders count="10">
    <x:border/>
    <x:border>
      <x:left style="thin">
        <x:color rgb="FFCBD5E1"/>
      </x:left>
      <x:right style="thin">
        <x:color rgb="FFCBD5E1"/>
      </x:right>
      <x:top style="thin">
        <x:color rgb="FFCBD5E1"/>
      </x:top>
      <x:bottom style="thin">
        <x:color rgb="FFCBD5E1"/>
      </x:bottom>
    </x:border>
    <x:border>
      <x:left style="thin">
        <x:color rgb="FFFDBA74"/>
      </x:left>
      <x:top style="thin">
        <x:color rgb="FFFDBA74"/>
      </x:top>
    </x:border>
    <x:border>
      <x:top style="thin">
        <x:color rgb="FFFDBA74"/>
      </x:top>
    </x:border>
    <x:border>
      <x:right style="thin">
        <x:color rgb="FFFDBA74"/>
      </x:right>
      <x:top style="thin">
        <x:color rgb="FFFDBA74"/>
      </x:top>
    </x:border>
    <x:border>
      <x:left style="thin">
        <x:color rgb="FFFDBA74"/>
      </x:left>
    </x:border>
    <x:border>
      <x:right style="thin">
        <x:color rgb="FFFDBA74"/>
      </x:right>
    </x:border>
    <x:border>
      <x:left style="thin">
        <x:color rgb="FFFDBA74"/>
      </x:left>
      <x:bottom style="thin">
        <x:color rgb="FFFDBA74"/>
      </x:bottom>
    </x:border>
    <x:border>
      <x:bottom style="thin">
        <x:color rgb="FFFDBA74"/>
      </x:bottom>
    </x:border>
    <x:border>
      <x:right style="thin">
        <x:color rgb="FFFDBA74"/>
      </x:right>
      <x:bottom style="thin">
        <x:color rgb="FFFDBA74"/>
      </x:bottom>
    </x:border>
  </x:borders>
  <x:cellStyleXfs count="1">
    <x:xf numFmtId="0" fontId="0" fillId="0" borderId="0"/>
  </x:cellStyleXfs>
  <x:cellXfs count="9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top"/>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200" fontId="0" fillId="4"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3" fontId="0" fillId="0" borderId="1"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2" xfId="0" applyNumberFormat="1" applyFont="1" applyFill="1" applyBorder="1"/>
    <x:xf numFmtId="0" fontId="6" fillId="7" borderId="3" xfId="0" applyNumberFormat="1" applyFont="1" applyFill="1" applyBorder="1"/>
    <x:xf numFmtId="0" fontId="6" fillId="7" borderId="4" xfId="0" applyNumberFormat="1" applyFont="1" applyFill="1" applyBorder="1"/>
    <x:xf numFmtId="0" fontId="6" fillId="7" borderId="5" xfId="0" applyNumberFormat="1" applyFont="1" applyFill="1" applyBorder="1"/>
    <x:xf numFmtId="0" fontId="6" fillId="7" borderId="6" xfId="0" applyNumberFormat="1" applyFont="1" applyFill="1" applyBorder="1"/>
    <x:xf numFmtId="0" fontId="6" fillId="7" borderId="7" xfId="0" applyNumberFormat="1" applyFont="1" applyFill="1" applyBorder="1"/>
    <x:xf numFmtId="0" fontId="6" fillId="7" borderId="8" xfId="0" applyNumberFormat="1" applyFont="1" applyFill="1" applyBorder="1"/>
    <x:xf numFmtId="0" fontId="6" fillId="7" borderId="9" xfId="0" applyNumberFormat="1" applyFont="1" applyFill="1" applyBorder="1"/>
    <x:xf numFmtId="0" fontId="6" fillId="7" borderId="2" xfId="0" applyNumberFormat="1" applyFont="1" applyFill="1" applyBorder="1" applyAlignment="1">
      <x:alignment wrapText="1"/>
    </x:xf>
    <x:xf numFmtId="0" fontId="6" fillId="7" borderId="3" xfId="0" applyNumberFormat="1" applyFont="1" applyFill="1" applyBorder="1" applyAlignment="1">
      <x:alignment wrapText="1"/>
    </x:xf>
    <x:xf numFmtId="0" fontId="6" fillId="7" borderId="4" xfId="0" applyNumberFormat="1" applyFont="1" applyFill="1" applyBorder="1" applyAlignment="1">
      <x:alignment wrapText="1"/>
    </x:xf>
    <x:xf numFmtId="0" fontId="6" fillId="7" borderId="5"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6" xfId="0" applyNumberFormat="1" applyFont="1" applyFill="1" applyBorder="1" applyAlignment="1">
      <x:alignment wrapText="1"/>
    </x:xf>
    <x:xf numFmtId="0" fontId="6" fillId="7" borderId="7" xfId="0" applyNumberFormat="1" applyFont="1" applyFill="1" applyBorder="1" applyAlignment="1">
      <x:alignment wrapText="1"/>
    </x:xf>
    <x:xf numFmtId="0" fontId="6" fillId="7" borderId="8" xfId="0" applyNumberFormat="1" applyFont="1" applyFill="1" applyBorder="1" applyAlignment="1">
      <x:alignment wrapText="1"/>
    </x:xf>
    <x:xf numFmtId="0" fontId="6" fillId="7" borderId="9" xfId="0" applyNumberFormat="1" applyFont="1" applyFill="1" applyBorder="1" applyAlignment="1">
      <x:alignment wrapText="1"/>
    </x:xf>
    <x:xf numFmtId="0" fontId="6" fillId="7" borderId="2" xfId="0" applyNumberFormat="1" applyFont="1" applyFill="1" applyBorder="1" applyAlignment="1">
      <x:alignment vertical="center" wrapText="1"/>
    </x:xf>
    <x:xf numFmtId="0" fontId="6" fillId="7" borderId="3" xfId="0" applyNumberFormat="1" applyFont="1" applyFill="1" applyBorder="1" applyAlignment="1">
      <x:alignment vertical="center" wrapText="1"/>
    </x:xf>
    <x:xf numFmtId="0" fontId="6" fillId="7" borderId="4" xfId="0" applyNumberFormat="1" applyFont="1" applyFill="1" applyBorder="1" applyAlignment="1">
      <x:alignment vertical="center" wrapText="1"/>
    </x:xf>
    <x:xf numFmtId="0" fontId="6" fillId="7" borderId="5" xfId="0" applyNumberFormat="1" applyFont="1" applyFill="1" applyBorder="1" applyAlignment="1">
      <x:alignment vertical="center" wrapText="1"/>
    </x:xf>
    <x:xf numFmtId="0" fontId="6" fillId="7" borderId="0" xfId="0" applyNumberFormat="1" applyFont="1" applyFill="1" applyBorder="1" applyAlignment="1">
      <x:alignment vertical="center" wrapText="1"/>
    </x:xf>
    <x:xf numFmtId="0" fontId="6" fillId="7" borderId="6" xfId="0" applyNumberFormat="1" applyFont="1" applyFill="1" applyBorder="1" applyAlignment="1">
      <x:alignment vertical="center" wrapText="1"/>
    </x:xf>
    <x:xf numFmtId="0" fontId="6" fillId="7" borderId="7" xfId="0" applyNumberFormat="1" applyFont="1" applyFill="1" applyBorder="1" applyAlignment="1">
      <x:alignment vertical="center" wrapText="1"/>
    </x:xf>
    <x:xf numFmtId="0" fontId="6" fillId="7" borderId="8" xfId="0" applyNumberFormat="1" applyFont="1" applyFill="1" applyBorder="1" applyAlignment="1">
      <x:alignment vertical="center" wrapText="1"/>
    </x:xf>
    <x:xf numFmtId="0" fontId="6" fillId="7" borderId="9" xfId="0" applyNumberFormat="1" applyFont="1" applyFill="1" applyBorder="1" applyAlignment="1">
      <x:alignment vertical="center" wrapText="1"/>
    </x:xf>
    <x:xf numFmtId="0" fontId="7" fillId="2" borderId="0" xfId="0" applyNumberFormat="1" applyFont="1" applyFill="1" applyBorder="1" applyAlignment="1">
      <x:alignment vertical="center" wrapText="1"/>
    </x:xf>
    <x:xf numFmtId="0" fontId="8" fillId="3" borderId="0" xfId="0" applyNumberFormat="1" applyFont="1" applyFill="1" applyBorder="1" applyAlignment="1">
      <x:alignment vertical="center" wrapText="1"/>
    </x:xf>
    <x:xf numFmtId="0" fontId="9" fillId="0" borderId="0" xfId="0" applyNumberFormat="1" applyFont="1" applyFill="1" applyBorder="1"/>
    <x:xf numFmtId="0" fontId="10" fillId="3" borderId="1" xfId="0" applyNumberFormat="1" applyFont="1" applyFill="1" applyBorder="1" applyAlignment="1">
      <x:alignment vertical="top"/>
    </x:xf>
    <x:xf numFmtId="0" fontId="11" fillId="5" borderId="1" xfId="0" applyNumberFormat="1" applyFont="1" applyFill="1" applyBorder="1" applyAlignment="1">
      <x:alignment vertical="top" wrapText="1"/>
    </x:xf>
    <x:xf numFmtId="200" fontId="9" fillId="4" borderId="1" xfId="0" applyNumberFormat="1" applyFont="1" applyFill="1" applyBorder="1" applyAlignment="1">
      <x:alignment vertical="top" wrapText="1"/>
    </x:xf>
    <x:xf numFmtId="0" fontId="9" fillId="4" borderId="1" xfId="0" applyNumberFormat="1" applyFont="1" applyFill="1" applyBorder="1" applyAlignment="1">
      <x:alignment vertical="top" wrapText="1"/>
    </x:xf>
    <x:xf numFmtId="0" fontId="12" fillId="6" borderId="1" xfId="0" applyNumberFormat="1" applyFont="1" applyFill="1" applyBorder="1" applyAlignment="1">
      <x:alignment horizontal="center" vertical="center" wrapText="1"/>
    </x:xf>
    <x:xf numFmtId="0" fontId="9" fillId="0" borderId="1"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203" fontId="9" fillId="0" borderId="1" xfId="0" applyNumberFormat="1" applyFont="1" applyFill="1" applyBorder="1" applyAlignment="1">
      <x:alignment vertical="top" wrapText="1"/>
    </x:xf>
    <x:xf numFmtId="0" fontId="13" fillId="7" borderId="2" xfId="0" applyNumberFormat="1" applyFont="1" applyFill="1" applyBorder="1" applyAlignment="1">
      <x:alignment vertical="center" wrapText="1"/>
    </x:xf>
    <x:xf numFmtId="0" fontId="13" fillId="7" borderId="3" xfId="0" applyNumberFormat="1" applyFont="1" applyFill="1" applyBorder="1" applyAlignment="1">
      <x:alignment vertical="center" wrapText="1"/>
    </x:xf>
    <x:xf numFmtId="0" fontId="13" fillId="7" borderId="4" xfId="0" applyNumberFormat="1" applyFont="1" applyFill="1" applyBorder="1" applyAlignment="1">
      <x:alignment vertical="center" wrapText="1"/>
    </x:xf>
    <x:xf numFmtId="0" fontId="13" fillId="7" borderId="5" xfId="0" applyNumberFormat="1" applyFont="1" applyFill="1" applyBorder="1" applyAlignment="1">
      <x:alignment vertical="center" wrapText="1"/>
    </x:xf>
    <x:xf numFmtId="0" fontId="13" fillId="7" borderId="0" xfId="0" applyNumberFormat="1" applyFont="1" applyFill="1" applyBorder="1" applyAlignment="1">
      <x:alignment vertical="center" wrapText="1"/>
    </x:xf>
    <x:xf numFmtId="0" fontId="13" fillId="7" borderId="6" xfId="0" applyNumberFormat="1" applyFont="1" applyFill="1" applyBorder="1" applyAlignment="1">
      <x:alignment vertical="center" wrapText="1"/>
    </x:xf>
    <x:xf numFmtId="0" fontId="13" fillId="7" borderId="7" xfId="0" applyNumberFormat="1" applyFont="1" applyFill="1" applyBorder="1" applyAlignment="1">
      <x:alignment vertical="center" wrapText="1"/>
    </x:xf>
    <x:xf numFmtId="0" fontId="13" fillId="7" borderId="8" xfId="0" applyNumberFormat="1" applyFont="1" applyFill="1" applyBorder="1" applyAlignment="1">
      <x:alignment vertical="center" wrapText="1"/>
    </x:xf>
    <x:xf numFmtId="0" fontId="13" fillId="7" borderId="9" xfId="0" applyNumberFormat="1" applyFont="1" applyFill="1" applyBorder="1" applyAlignment="1">
      <x:alignment vertical="center" wrapText="1"/>
    </x:xf>
    <x:xf numFmtId="200" fontId="0"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4" fillId="5" borderId="1" xfId="0" applyNumberFormat="1" applyFont="1" applyFill="1" applyBorder="1" applyAlignment="1">
      <x:alignment horizontal="center" vertical="top" wrapText="1"/>
    </x:xf>
    <x:xf numFmtId="0" fontId="10" fillId="3" borderId="1" xfId="0" applyNumberFormat="1" applyFont="1" applyFill="1" applyBorder="1" applyAlignment="1">
      <x:alignment vertical="top" wrapText="1"/>
    </x:xf>
    <x:xf numFmtId="200" fontId="9" fillId="0" borderId="1" xfId="0" applyNumberFormat="1" applyFont="1" applyFill="1" applyBorder="1" applyAlignment="1">
      <x:alignment vertical="top" wrapText="1"/>
    </x:xf>
    <x:xf numFmtId="0" fontId="11" fillId="5" borderId="1" xfId="0" applyNumberFormat="1" applyFont="1" applyFill="1" applyBorder="1" applyAlignment="1">
      <x:alignment horizontal="center" vertical="top" wrapText="1"/>
    </x:xf>
    <x:xf numFmtId="202" fontId="4" fillId="5" borderId="1" xfId="0" applyNumberFormat="1" applyFont="1" applyFill="1" applyBorder="1" applyAlignment="1">
      <x:alignment vertical="top" wrapText="1"/>
    </x:xf>
    <x:xf numFmtId="201" fontId="4" fillId="5" borderId="1" xfId="0" applyNumberFormat="1" applyFont="1" applyFill="1" applyBorder="1" applyAlignment="1">
      <x:alignment vertical="top" wrapText="1"/>
    </x:xf>
    <x:xf numFmtId="203" fontId="4" fillId="5" borderId="1" xfId="0" applyNumberFormat="1" applyFont="1" applyFill="1" applyBorder="1" applyAlignment="1">
      <x:alignment vertical="top" wrapText="1"/>
    </x:xf>
    <x:xf numFmtId="202" fontId="11" fillId="5" borderId="1" xfId="0" applyNumberFormat="1" applyFont="1" applyFill="1" applyBorder="1" applyAlignment="1">
      <x:alignment vertical="top" wrapText="1"/>
    </x:xf>
    <x:xf numFmtId="201" fontId="11" fillId="5" borderId="1" xfId="0" applyNumberFormat="1" applyFont="1" applyFill="1" applyBorder="1" applyAlignment="1">
      <x:alignment vertical="top" wrapText="1"/>
    </x:xf>
    <x:xf numFmtId="203" fontId="11" fillId="5"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252646190d498c" /><Relationship Type="http://schemas.openxmlformats.org/officeDocument/2006/relationships/theme" Target="/xl/theme/theme1.xml" Id="R9a3b7223b5e54182" /><Relationship Type="http://schemas.openxmlformats.org/officeDocument/2006/relationships/sharedStrings" Target="/xl/sharedStrings.xml" Id="Rfff99602629244ac" /><Relationship Type="http://schemas.openxmlformats.org/officeDocument/2006/relationships/worksheet" Target="/xl/worksheets/sheet1.xml" Id="R06bc81ee380f4776" /><Relationship Type="http://schemas.openxmlformats.org/officeDocument/2006/relationships/worksheet" Target="/xl/worksheets/sheet2.xml" Id="R03275b8276af4bf9" /><Relationship Type="http://schemas.openxmlformats.org/officeDocument/2006/relationships/worksheet" Target="/xl/worksheets/sheet3.xml" Id="Rc0f1da9b334140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48" hidden="0" customWidth="1"/>
    <x:col min="3" max="3" width="18" hidden="0" customWidth="1"/>
    <x:col min="4" max="4" width="20" hidden="0" customWidth="1"/>
    <x:col min="5" max="5" width="12" hidden="0" customWidth="1"/>
    <x:col min="6" max="6" width="38" hidden="0" customWidth="1"/>
    <x:col min="7" max="7" width="12" hidden="0" customWidth="1"/>
    <x:col min="8" max="8" width="12" hidden="0" customWidth="1"/>
    <x:col min="9" max="9" width="12" hidden="0" customWidth="1"/>
    <x:col min="10" max="10" width="12" hidden="0" customWidth="1"/>
  </x:cols>
  <x:sheetData>
    <x:row r="1" ht="28" customHeight="1">
      <x:c r="A1" s="59" t="str">
        <x:v>E-28 - MARKET SOURCES</x:v>
      </x:c>
      <x:c r="B1" s="59"/>
      <x:c r="C1" s="59"/>
      <x:c r="D1" s="59"/>
      <x:c r="E1" s="59"/>
      <x:c r="F1" s="59"/>
      <x:c r="G1" s="59"/>
      <x:c r="H1" s="59"/>
      <x:c r="I1" s="59"/>
      <x:c r="J1" s="59"/>
    </x:row>
    <x:row r="2" ht="28" customHeight="1">
      <x:c r="A2" s="59"/>
      <x:c r="B2" s="59"/>
      <x:c r="C2" s="59"/>
      <x:c r="D2" s="59"/>
      <x:c r="E2" s="59"/>
      <x:c r="F2" s="59"/>
      <x:c r="G2" s="59"/>
      <x:c r="H2" s="59"/>
      <x:c r="I2" s="59"/>
      <x:c r="J2" s="59"/>
    </x:row>
    <x:row r="3" ht="34" customHeight="1">
      <x:c r="A3" s="60" t="str">
        <x:v>Nguồn thị trường có thể kiểm chứng; không phải bằng chứng pilot, traction, pricing validation hoặc ROI thực tế.</x:v>
      </x:c>
      <x:c r="B3" s="60"/>
      <x:c r="C3" s="60"/>
      <x:c r="D3" s="60"/>
      <x:c r="E3" s="60"/>
      <x:c r="F3" s="60"/>
      <x:c r="G3" s="60"/>
      <x:c r="H3" s="60"/>
      <x:c r="I3" s="60"/>
      <x:c r="J3" s="60"/>
    </x:row>
    <x:row r="4">
      <x:c r="A4" s="61"/>
      <x:c r="B4" s="61"/>
      <x:c r="C4" s="61"/>
      <x:c r="D4" s="61"/>
      <x:c r="E4" s="61"/>
      <x:c r="F4" s="61"/>
      <x:c r="G4" s="61"/>
      <x:c r="H4" s="61"/>
      <x:c r="I4" s="61"/>
      <x:c r="J4" s="61"/>
    </x:row>
    <x:row r="5" ht="32" customHeight="1">
      <x:c r="A5" s="62" t="str">
        <x:v>Trạng thái gói</x:v>
      </x:c>
      <x:c r="B5" s="63" t="str">
        <x:v>COMPLETE - READY FOR EVIDENCE REVIEW</x:v>
      </x:c>
      <x:c r="C5" s="61"/>
      <x:c r="D5" s="61"/>
      <x:c r="E5" s="61"/>
      <x:c r="F5" s="61"/>
      <x:c r="G5" s="61"/>
      <x:c r="H5" s="61"/>
      <x:c r="I5" s="61"/>
      <x:c r="J5" s="61"/>
    </x:row>
    <x:row r="6" ht="32" customHeight="1">
      <x:c r="A6" s="62" t="str">
        <x:v>Ngày khóa</x:v>
      </x:c>
      <x:c r="B6" s="64" t="n">
        <x:v>46244</x:v>
      </x:c>
      <x:c r="C6" s="61"/>
      <x:c r="D6" s="61"/>
      <x:c r="E6" s="61"/>
      <x:c r="F6" s="61"/>
      <x:c r="G6" s="61"/>
      <x:c r="H6" s="61"/>
      <x:c r="I6" s="61"/>
      <x:c r="J6" s="61"/>
    </x:row>
    <x:row r="7" ht="32" customHeight="1">
      <x:c r="A7" s="62" t="str">
        <x:v>Phạm vi</x:v>
      </x:c>
      <x:c r="B7" s="65" t="str">
        <x:v>Market context + regulatory context</x:v>
      </x:c>
      <x:c r="C7" s="61"/>
      <x:c r="D7" s="61"/>
      <x:c r="E7" s="61"/>
      <x:c r="F7" s="61"/>
      <x:c r="G7" s="61"/>
      <x:c r="H7" s="61"/>
      <x:c r="I7" s="61"/>
      <x:c r="J7" s="61"/>
    </x:row>
    <x:row r="8" ht="32" customHeight="1">
      <x:c r="A8" s="62" t="str">
        <x:v>Nguồn chính thức</x:v>
      </x:c>
      <x:c r="B8" s="65" t="n">
        <x:v>4</x:v>
      </x:c>
      <x:c r="C8" s="61"/>
      <x:c r="D8" s="61"/>
      <x:c r="E8" s="61"/>
      <x:c r="F8" s="61"/>
      <x:c r="G8" s="61"/>
      <x:c r="H8" s="61"/>
      <x:c r="I8" s="61"/>
      <x:c r="J8" s="61"/>
    </x:row>
    <x:row r="9" ht="32" customHeight="1">
      <x:c r="A9" s="62" t="str">
        <x:v>Snapshot PDF</x:v>
      </x:c>
      <x:c r="B9" s="65" t="n">
        <x:v>4</x:v>
      </x:c>
      <x:c r="C9" s="61"/>
      <x:c r="D9" s="61"/>
      <x:c r="E9" s="61"/>
      <x:c r="F9" s="61"/>
      <x:c r="G9" s="61"/>
      <x:c r="H9" s="61"/>
      <x:c r="I9" s="61"/>
      <x:c r="J9" s="61"/>
    </x:row>
    <x:row r="10" ht="32" customHeight="1">
      <x:c r="A10" s="62" t="str">
        <x:v>Không được tuyên bố</x:v>
      </x:c>
      <x:c r="B10" s="65" t="str">
        <x:v>TAM/SAM/SOM của sản phẩm; willingness-to-pay; giá đã được xác nhận; ROI/pilot đã kiểm chứng</x:v>
      </x:c>
      <x:c r="C10" s="61"/>
      <x:c r="D10" s="61"/>
      <x:c r="E10" s="61"/>
      <x:c r="F10" s="61"/>
      <x:c r="G10" s="61"/>
      <x:c r="H10" s="61"/>
      <x:c r="I10" s="61"/>
      <x:c r="J10" s="61"/>
    </x:row>
    <x:row r="11">
      <x:c r="A11" s="61"/>
      <x:c r="B11" s="61"/>
      <x:c r="C11" s="61"/>
      <x:c r="D11" s="61"/>
      <x:c r="E11" s="61"/>
      <x:c r="F11" s="61"/>
      <x:c r="G11" s="61"/>
      <x:c r="H11" s="61"/>
      <x:c r="I11" s="61"/>
      <x:c r="J11" s="61"/>
    </x:row>
    <x:row r="12" ht="30" customHeight="1">
      <x:c r="A12" s="66" t="str">
        <x:v>ID</x:v>
      </x:c>
      <x:c r="B12" s="66" t="str">
        <x:v>Chỉ tiêu</x:v>
      </x:c>
      <x:c r="C12" s="66" t="str">
        <x:v>Giá trị</x:v>
      </x:c>
      <x:c r="D12" s="66" t="str">
        <x:v>Đơn vị</x:v>
      </x:c>
      <x:c r="E12" s="66" t="str">
        <x:v>Nguồn</x:v>
      </x:c>
      <x:c r="F12" s="66" t="str">
        <x:v>Cách dùng đúng</x:v>
      </x:c>
      <x:c r="G12" s="61"/>
      <x:c r="H12" s="61"/>
      <x:c r="I12" s="61"/>
      <x:c r="J12" s="61"/>
    </x:row>
    <x:row r="13" ht="30" customHeight="1">
      <x:c r="A13" s="67" t="str">
        <x:v>M01</x:v>
      </x:c>
      <x:c r="B13" s="67" t="str">
        <x:v>Tai nạn giao thông năm 2025</x:v>
      </x:c>
      <x:c r="C13" s="68" t="n">
        <x:v>18615</x:v>
      </x:c>
      <x:c r="D13" s="67" t="str">
        <x:v>vụ</x:v>
      </x:c>
      <x:c r="E13" s="67" t="str">
        <x:v>S01</x:v>
      </x:c>
      <x:c r="F13" s="67" t="str">
        <x:v>Bối cảnh an toàn giao thông</x:v>
      </x:c>
      <x:c r="G13" s="61"/>
      <x:c r="H13" s="61"/>
      <x:c r="I13" s="61"/>
      <x:c r="J13" s="61"/>
    </x:row>
    <x:row r="14" ht="30" customHeight="1">
      <x:c r="A14" s="67" t="str">
        <x:v>M02</x:v>
      </x:c>
      <x:c r="B14" s="67" t="str">
        <x:v>Người chết</x:v>
      </x:c>
      <x:c r="C14" s="68" t="n">
        <x:v>10527</x:v>
      </x:c>
      <x:c r="D14" s="67" t="str">
        <x:v>người</x:v>
      </x:c>
      <x:c r="E14" s="67" t="str">
        <x:v>S01</x:v>
      </x:c>
      <x:c r="F14" s="67" t="str">
        <x:v>Bối cảnh an toàn giao thông</x:v>
      </x:c>
      <x:c r="G14" s="61"/>
      <x:c r="H14" s="61"/>
      <x:c r="I14" s="61"/>
      <x:c r="J14" s="61"/>
    </x:row>
    <x:row r="15" ht="30" customHeight="1">
      <x:c r="A15" s="67" t="str">
        <x:v>M03</x:v>
      </x:c>
      <x:c r="B15" s="67" t="str">
        <x:v>Người bị thương</x:v>
      </x:c>
      <x:c r="C15" s="68" t="n">
        <x:v>12294</x:v>
      </x:c>
      <x:c r="D15" s="67" t="str">
        <x:v>người</x:v>
      </x:c>
      <x:c r="E15" s="67" t="str">
        <x:v>S01</x:v>
      </x:c>
      <x:c r="F15" s="67" t="str">
        <x:v>Bối cảnh an toàn giao thông</x:v>
      </x:c>
      <x:c r="G15" s="61"/>
      <x:c r="H15" s="61"/>
      <x:c r="I15" s="61"/>
      <x:c r="J15" s="61"/>
    </x:row>
    <x:row r="16" ht="30" customHeight="1">
      <x:c r="A16" s="67" t="str">
        <x:v>M04</x:v>
      </x:c>
      <x:c r="B16" s="67" t="str">
        <x:v>Hàng hóa vận chuyển</x:v>
      </x:c>
      <x:c r="C16" s="69" t="n">
        <x:v>3027.7</x:v>
      </x:c>
      <x:c r="D16" s="67" t="str">
        <x:v>triệu tấn</x:v>
      </x:c>
      <x:c r="E16" s="67" t="str">
        <x:v>S02</x:v>
      </x:c>
      <x:c r="F16" s="67" t="str">
        <x:v>Quy mô hoạt động vận tải</x:v>
      </x:c>
      <x:c r="G16" s="61"/>
      <x:c r="H16" s="61"/>
      <x:c r="I16" s="61"/>
      <x:c r="J16" s="61"/>
    </x:row>
    <x:row r="17" ht="30" customHeight="1">
      <x:c r="A17" s="67" t="str">
        <x:v>M05</x:v>
      </x:c>
      <x:c r="B17" s="67" t="str">
        <x:v>Tăng trưởng hàng hóa vận chuyển</x:v>
      </x:c>
      <x:c r="C17" s="70" t="n">
        <x:v>0.141</x:v>
      </x:c>
      <x:c r="D17" s="67" t="str">
        <x:v>% so với năm trước</x:v>
      </x:c>
      <x:c r="E17" s="67" t="str">
        <x:v>S02</x:v>
      </x:c>
      <x:c r="F17" s="67" t="str">
        <x:v>Xu hướng vận tải</x:v>
      </x:c>
      <x:c r="G17" s="61"/>
      <x:c r="H17" s="61"/>
      <x:c r="I17" s="61"/>
      <x:c r="J17" s="61"/>
    </x:row>
    <x:row r="18" ht="30" customHeight="1">
      <x:c r="A18" s="67" t="str">
        <x:v>M06</x:v>
      </x:c>
      <x:c r="B18" s="67" t="str">
        <x:v>Quy mô ngành logistics</x:v>
      </x:c>
      <x:c r="C18" s="67" t="str">
        <x:v>45-50</x:v>
      </x:c>
      <x:c r="D18" s="67" t="str">
        <x:v>tỷ USD</x:v>
      </x:c>
      <x:c r="E18" s="67" t="str">
        <x:v>S03</x:v>
      </x:c>
      <x:c r="F18" s="67" t="str">
        <x:v>Market context toàn ngành; không phải TAM</x:v>
      </x:c>
      <x:c r="G18" s="61"/>
      <x:c r="H18" s="61"/>
      <x:c r="I18" s="61"/>
      <x:c r="J18" s="61"/>
    </x:row>
    <x:row r="19" ht="30" customHeight="1">
      <x:c r="A19" s="67" t="str">
        <x:v>M07</x:v>
      </x:c>
      <x:c r="B19" s="67" t="str">
        <x:v>Tăng trưởng ngành logistics</x:v>
      </x:c>
      <x:c r="C19" s="67" t="str">
        <x:v>14-16</x:v>
      </x:c>
      <x:c r="D19" s="67" t="str">
        <x:v>%/năm</x:v>
      </x:c>
      <x:c r="E19" s="67" t="str">
        <x:v>S03</x:v>
      </x:c>
      <x:c r="F19" s="67" t="str">
        <x:v>Market context toàn ngành</x:v>
      </x:c>
      <x:c r="G19" s="61"/>
      <x:c r="H19" s="61"/>
      <x:c r="I19" s="61"/>
      <x:c r="J19" s="61"/>
    </x:row>
    <x:row r="20" ht="30" customHeight="1">
      <x:c r="A20" s="67" t="str">
        <x:v>M08</x:v>
      </x:c>
      <x:c r="B20" s="67" t="str">
        <x:v>ADDW - mốc lộ trình chung</x:v>
      </x:c>
      <x:c r="C20" s="67" t="str">
        <x:v>2024 / 2026</x:v>
      </x:c>
      <x:c r="D20" s="67" t="str">
        <x:v>năm</x:v>
      </x:c>
      <x:c r="E20" s="67" t="str">
        <x:v>S04</x:v>
      </x:c>
      <x:c r="F20" s="67" t="str">
        <x:v>Regulatory context; không phải chứng nhận sản phẩm</x:v>
      </x:c>
      <x:c r="G20" s="61"/>
      <x:c r="H20" s="61"/>
      <x:c r="I20" s="61"/>
      <x:c r="J20" s="61"/>
    </x:row>
    <x:row r="21">
      <x:c r="A21" s="61"/>
      <x:c r="B21" s="61"/>
      <x:c r="C21" s="61"/>
      <x:c r="D21" s="61"/>
      <x:c r="E21" s="61"/>
      <x:c r="F21" s="61"/>
      <x:c r="G21" s="61"/>
      <x:c r="H21" s="61"/>
      <x:c r="I21" s="61"/>
      <x:c r="J21" s="61"/>
    </x:row>
    <x:row r="22">
      <x:c r="A22" s="71" t="str">
        <x:v>Release gate: chỉ đổi E-28 thành VERIFIED khi 4 PDF snapshot, Source Register, Calculation và SHA256 cùng tồn tại. Không được dùng gói này để đổi trạng thái E-30/E-31/E-33 hoặc tuyên bố đã có pilot.</x:v>
      </x:c>
      <x:c r="B22" s="72"/>
      <x:c r="C22" s="72"/>
      <x:c r="D22" s="72"/>
      <x:c r="E22" s="72"/>
      <x:c r="F22" s="72"/>
      <x:c r="G22" s="72"/>
      <x:c r="H22" s="72"/>
      <x:c r="I22" s="72"/>
      <x:c r="J22" s="73"/>
    </x:row>
    <x:row r="23">
      <x:c r="A23" s="74"/>
      <x:c r="B23" s="75"/>
      <x:c r="C23" s="75"/>
      <x:c r="D23" s="75"/>
      <x:c r="E23" s="75"/>
      <x:c r="F23" s="75"/>
      <x:c r="G23" s="75"/>
      <x:c r="H23" s="75"/>
      <x:c r="I23" s="75"/>
      <x:c r="J23" s="76"/>
    </x:row>
    <x:row r="24">
      <x:c r="A24" s="77"/>
      <x:c r="B24" s="78"/>
      <x:c r="C24" s="78"/>
      <x:c r="D24" s="78"/>
      <x:c r="E24" s="78"/>
      <x:c r="F24" s="78"/>
      <x:c r="G24" s="78"/>
      <x:c r="H24" s="78"/>
      <x:c r="I24" s="78"/>
      <x:c r="J24" s="79"/>
    </x:row>
  </x:sheetData>
  <x:mergeCells>
    <x:mergeCell ref="A1:J2"/>
    <x:mergeCell ref="A3:J3"/>
    <x:mergeCell ref="A22:J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4" hidden="0" customWidth="1"/>
    <x:col min="4" max="4" width="38" hidden="0" customWidth="1"/>
    <x:col min="5" max="5" width="14" hidden="0" customWidth="1"/>
    <x:col min="6" max="6" width="28" hidden="0" customWidth="1"/>
    <x:col min="7" max="7" width="44" hidden="0" customWidth="1"/>
    <x:col min="8" max="8" width="20" hidden="0" customWidth="1"/>
    <x:col min="9" max="9" width="19" hidden="0" customWidth="1"/>
    <x:col min="10" max="10" width="40" hidden="0" customWidth="1"/>
    <x:col min="11" max="11" width="44" hidden="0" customWidth="1"/>
    <x:col min="12" max="12" width="58" hidden="0" customWidth="1"/>
    <x:col min="13" max="13" width="42" hidden="0" customWidth="1"/>
    <x:col min="14" max="14" width="14" hidden="0" customWidth="1"/>
  </x:cols>
  <x:sheetData>
    <x:row r="1" ht="28" customHeight="1">
      <x:c r="A1" s="59" t="str">
        <x:v>SOURCE REGISTER</x:v>
      </x:c>
      <x:c r="B1" s="59"/>
      <x:c r="C1" s="59"/>
      <x:c r="D1" s="59"/>
      <x:c r="E1" s="59"/>
      <x:c r="F1" s="59"/>
      <x:c r="G1" s="59"/>
      <x:c r="H1" s="59"/>
      <x:c r="I1" s="59"/>
      <x:c r="J1" s="59"/>
      <x:c r="K1" s="59"/>
      <x:c r="L1" s="59"/>
      <x:c r="M1" s="59"/>
      <x:c r="N1" s="59"/>
    </x:row>
    <x:row r="2" ht="28" customHeight="1">
      <x:c r="A2" s="59"/>
      <x:c r="B2" s="59"/>
      <x:c r="C2" s="59"/>
      <x:c r="D2" s="59"/>
      <x:c r="E2" s="59"/>
      <x:c r="F2" s="59"/>
      <x:c r="G2" s="59"/>
      <x:c r="H2" s="59"/>
      <x:c r="I2" s="59"/>
      <x:c r="J2" s="59"/>
      <x:c r="K2" s="59"/>
      <x:c r="L2" s="59"/>
      <x:c r="M2" s="59"/>
      <x:c r="N2" s="59"/>
    </x:row>
    <x:row r="3" ht="34" customHeight="1">
      <x:c r="A3" s="60" t="str">
        <x:v>Mỗi dòng phải truy được tới URL chính thức và snapshot PDF tương ứng.</x:v>
      </x:c>
      <x:c r="B3" s="60"/>
      <x:c r="C3" s="60"/>
      <x:c r="D3" s="60"/>
      <x:c r="E3" s="60"/>
      <x:c r="F3" s="60"/>
      <x:c r="G3" s="60"/>
      <x:c r="H3" s="60"/>
      <x:c r="I3" s="60"/>
      <x:c r="J3" s="60"/>
      <x:c r="K3" s="60"/>
      <x:c r="L3" s="60"/>
      <x:c r="M3" s="60"/>
      <x:c r="N3" s="60"/>
    </x:row>
    <x:row r="4">
      <x:c r="A4" s="61"/>
      <x:c r="B4" s="61"/>
      <x:c r="C4" s="61"/>
      <x:c r="D4" s="61"/>
      <x:c r="E4" s="61"/>
      <x:c r="F4" s="61"/>
      <x:c r="G4" s="61"/>
      <x:c r="H4" s="61"/>
      <x:c r="I4" s="61"/>
      <x:c r="J4" s="61"/>
      <x:c r="K4" s="61"/>
      <x:c r="L4" s="61"/>
      <x:c r="M4" s="61"/>
      <x:c r="N4" s="61"/>
    </x:row>
    <x:row r="5" ht="42" customHeight="1">
      <x:c r="A5" s="66" t="str">
        <x:v>Source ID</x:v>
      </x:c>
      <x:c r="B5" s="66" t="str">
        <x:v>Nhóm</x:v>
      </x:c>
      <x:c r="C5" s="66" t="str">
        <x:v>Cơ quan</x:v>
      </x:c>
      <x:c r="D5" s="66" t="str">
        <x:v>Tên nguồn</x:v>
      </x:c>
      <x:c r="E5" s="66" t="str">
        <x:v>Ngày công bố</x:v>
      </x:c>
      <x:c r="F5" s="66" t="str">
        <x:v>Kỳ dữ liệu/phạm vi</x:v>
      </x:c>
      <x:c r="G5" s="66" t="str">
        <x:v>Khẳng định được dùng</x:v>
      </x:c>
      <x:c r="H5" s="66" t="str">
        <x:v>Giá trị</x:v>
      </x:c>
      <x:c r="I5" s="66" t="str">
        <x:v>Đơn vị</x:v>
      </x:c>
      <x:c r="J5" s="66" t="str">
        <x:v>Định nghĩa</x:v>
      </x:c>
      <x:c r="K5" s="66" t="str">
        <x:v>Giới hạn</x:v>
      </x:c>
      <x:c r="L5" s="66" t="str">
        <x:v>URL chính thức</x:v>
      </x:c>
      <x:c r="M5" s="66" t="str">
        <x:v>Snapshot file</x:v>
      </x:c>
      <x:c r="N5" s="66" t="str">
        <x:v>Status</x:v>
      </x:c>
    </x:row>
    <x:row r="6" ht="88" customHeight="1">
      <x:c r="A6" s="84" t="str">
        <x:v>S01</x:v>
      </x:c>
      <x:c r="B6" s="67" t="str">
        <x:v>Safety context</x:v>
      </x:c>
      <x:c r="C6" s="67" t="str">
        <x:v>Bộ Công an</x:v>
      </x:c>
      <x:c r="D6" s="67" t="str">
        <x:v>Tình hình tai nạn giao thông năm 2025</x:v>
      </x:c>
      <x:c r="E6" s="85" t="n">
        <x:v>46108</x:v>
      </x:c>
      <x:c r="F6" s="67" t="str">
        <x:v>2024-12-15 đến 2025-12-14</x:v>
      </x:c>
      <x:c r="G6" s="67" t="str">
        <x:v>18.615 vụ; 10.527 người chết; 12.294 người bị thương</x:v>
      </x:c>
      <x:c r="H6" s="67" t="str">
        <x:v>18.615 / 10.527 / 12.294</x:v>
      </x:c>
      <x:c r="I6" s="67" t="str">
        <x:v>vụ / người / người</x:v>
      </x:c>
      <x:c r="J6" s="67" t="str">
        <x:v>Số liệu sơ bộ toàn quốc cho kỳ thống kê nêu trên</x:v>
      </x:c>
      <x:c r="K6" s="67" t="str">
        <x:v>Không suy ra tai nạn do mất tập trung hoặc số vụ giải pháp có thể ngăn chặn</x:v>
      </x:c>
      <x:c r="L6" s="67" t="str">
        <x:v>https://bocongan.gov.vn/bai-viet/tinh-hinh-tai-nan-giao-thong-chay-no-va-xu-ly-hanh-chinh-ve-trat-tu-an-toan-giao-thong-nam-2025-1774612854</x:v>
      </x:c>
      <x:c r="M6" s="67" t="str">
        <x:v>snapshots/S01_BCA_TNGT_2025_snapshot_2026-08-10.pdf</x:v>
      </x:c>
      <x:c r="N6" s="86" t="str">
        <x:v>VERIFIED</x:v>
      </x:c>
    </x:row>
    <x:row r="7" ht="88" customHeight="1">
      <x:c r="A7" s="84" t="str">
        <x:v>S02</x:v>
      </x:c>
      <x:c r="B7" s="67" t="str">
        <x:v>Transport context</x:v>
      </x:c>
      <x:c r="C7" s="67" t="str">
        <x:v>Cục Thống kê</x:v>
      </x:c>
      <x:c r="D7" s="67" t="str">
        <x:v>Báo cáo tình hình kinh tế - xã hội quý IV và năm 2025</x:v>
      </x:c>
      <x:c r="E7" s="85" t="n">
        <x:v>46027</x:v>
      </x:c>
      <x:c r="F7" s="67" t="str">
        <x:v>Năm 2025</x:v>
      </x:c>
      <x:c r="G7" s="67" t="str">
        <x:v>Vận tải hàng hóa 3.027,7 triệu tấn, tăng 14,1%; luân chuyển 612,3 tỷ tấn.km, tăng 13,1%</x:v>
      </x:c>
      <x:c r="H7" s="67" t="n">
        <x:v>3027.7</x:v>
      </x:c>
      <x:c r="I7" s="67" t="str">
        <x:v>triệu tấn</x:v>
      </x:c>
      <x:c r="J7" s="67" t="str">
        <x:v>Khối lượng hàng hóa vận chuyển; không phải số xe hoặc số fleet</x:v>
      </x:c>
      <x:c r="K7" s="67" t="str">
        <x:v>Không dùng làm quy mô thị trường DMS hoặc doanh thu logistics</x:v>
      </x:c>
      <x:c r="L7" s="67" t="str">
        <x:v>https://www.nso.gov.vn/bai-top/2026/01/bao-cao-tinh-hinh-kinh-te-xa-hoi-quy-iv-va-nam-2025/</x:v>
      </x:c>
      <x:c r="M7" s="67" t="str">
        <x:v>snapshots/S02_NSO_KTXH_2025_snapshot_2026-08-10.pdf</x:v>
      </x:c>
      <x:c r="N7" s="86" t="str">
        <x:v>VERIFIED</x:v>
      </x:c>
    </x:row>
    <x:row r="8" ht="88" customHeight="1">
      <x:c r="A8" s="84" t="str">
        <x:v>S03</x:v>
      </x:c>
      <x:c r="B8" s="67" t="str">
        <x:v>Market context</x:v>
      </x:c>
      <x:c r="C8" s="67" t="str">
        <x:v>Bộ Công Thương</x:v>
      </x:c>
      <x:c r="D8" s="67" t="str">
        <x:v>Vietnam Logistics Forum 2025: Vietnam Logistics - Rising into a New Era</x:v>
      </x:c>
      <x:c r="E8" s="85" t="n">
        <x:v>45990</x:v>
      </x:c>
      <x:c r="F8" s="67" t="str">
        <x:v>Bối cảnh ngành tại thời điểm diễn đàn 2025</x:v>
      </x:c>
      <x:c r="G8" s="67" t="str">
        <x:v>Quy mô logistics 45-50 tỷ USD; tăng trưởng 14-16%/năm</x:v>
      </x:c>
      <x:c r="H8" s="67" t="str">
        <x:v>45-50 / 14-16</x:v>
      </x:c>
      <x:c r="I8" s="67" t="str">
        <x:v>tỷ USD / % mỗi năm</x:v>
      </x:c>
      <x:c r="J8" s="67" t="str">
        <x:v>Ước tính toàn ngành dịch vụ logistics Việt Nam</x:v>
      </x:c>
      <x:c r="K8" s="67" t="str">
        <x:v>Không phải TAM/SAM/SOM, doanh thu, mức tiết kiệm hoặc ROI của FPTU DMS Vision</x:v>
      </x:c>
      <x:c r="L8" s="67" t="str">
        <x:v>https://moit.gov.vn/en/support-services/70-years-of-industry-and-trade/vietnam-logistics-forum-2025-vietnam-logistics-rising-into-a-new-era-.html</x:v>
      </x:c>
      <x:c r="M8" s="67" t="str">
        <x:v>snapshots/S03_MOIT_Logistics_Forum_2025_snapshot_2026-08-10.pdf</x:v>
      </x:c>
      <x:c r="N8" s="86" t="str">
        <x:v>VERIFIED</x:v>
      </x:c>
    </x:row>
    <x:row r="9" ht="88" customHeight="1">
      <x:c r="A9" s="84" t="str">
        <x:v>S04</x:v>
      </x:c>
      <x:c r="B9" s="67" t="str">
        <x:v>Regulatory context</x:v>
      </x:c>
      <x:c r="C9" s="67" t="str">
        <x:v>European Commission / EUR-Lex</x:v>
      </x:c>
      <x:c r="D9" s="67" t="str">
        <x:v>Regulation (EU) 2023/2590 - ADDW</x:v>
      </x:c>
      <x:c r="E9" s="85" t="n">
        <x:v>45251.958333333336</x:v>
      </x:c>
      <x:c r="F9" s="67" t="str">
        <x:v>Áp dụng từ 2024-07-07; mốc chung 2024/2026 theo loại phương tiện</x:v>
      </x:c>
      <x:c r="G9" s="67" t="str">
        <x:v>Yêu cầu kỹ thuật và thử nghiệm ADDW cho phương tiện nhóm M và N</x:v>
      </x:c>
      <x:c r="H9" s="67" t="str">
        <x:v>2024 / 2026</x:v>
      </x:c>
      <x:c r="I9" s="67" t="str">
        <x:v>năm</x:v>
      </x:c>
      <x:c r="J9" s="67" t="str">
        <x:v>Regulatory context cho ADDW</x:v>
      </x:c>
      <x:c r="K9" s="67" t="str">
        <x:v>Không chứng minh sản phẩm đã được chứng nhận, homologation hoặc tuân thủ đầy đủ EU</x:v>
      </x:c>
      <x:c r="L9" s="67" t="str">
        <x:v>https://eur-lex.europa.eu/eli/reg_del/2023/2590/oj/eng/pdf</x:v>
      </x:c>
      <x:c r="M9" s="67" t="str">
        <x:v>snapshots/S04_EURLEX_ADDW_2023_2590_snapshot_2026-08-10.pdf</x:v>
      </x:c>
      <x:c r="N9" s="86" t="str">
        <x:v>VERIFIED</x:v>
      </x:c>
    </x:row>
  </x:sheetData>
  <x:mergeCells>
    <x:mergeCell ref="A1:N2"/>
    <x:mergeCell ref="A3:N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18" hidden="0" customWidth="1"/>
    <x:col min="4" max="4" width="18" hidden="0" customWidth="1"/>
    <x:col min="5" max="5" width="22" hidden="0" customWidth="1"/>
    <x:col min="6" max="6" width="32" hidden="0" customWidth="1"/>
    <x:col min="7" max="7" width="20" hidden="0" customWidth="1"/>
    <x:col min="8" max="8" width="20" hidden="0" customWidth="1"/>
    <x:col min="9" max="9" width="44" hidden="0" customWidth="1"/>
    <x:col min="10" max="10" width="12" hidden="0" customWidth="1"/>
  </x:cols>
  <x:sheetData>
    <x:row r="1" ht="28" customHeight="1">
      <x:c r="A1" s="59" t="str">
        <x:v>CALCULATION SHEET</x:v>
      </x:c>
      <x:c r="B1" s="59"/>
      <x:c r="C1" s="59"/>
      <x:c r="D1" s="59"/>
      <x:c r="E1" s="59"/>
      <x:c r="F1" s="59"/>
      <x:c r="G1" s="59"/>
      <x:c r="H1" s="59"/>
      <x:c r="I1" s="59"/>
      <x:c r="J1" s="59"/>
    </x:row>
    <x:row r="2" ht="28" customHeight="1">
      <x:c r="A2" s="59"/>
      <x:c r="B2" s="59"/>
      <x:c r="C2" s="59"/>
      <x:c r="D2" s="59"/>
      <x:c r="E2" s="59"/>
      <x:c r="F2" s="59"/>
      <x:c r="G2" s="59"/>
      <x:c r="H2" s="59"/>
      <x:c r="I2" s="59"/>
      <x:c r="J2" s="59"/>
    </x:row>
    <x:row r="3" ht="34" customHeight="1">
      <x:c r="A3" s="60" t="str">
        <x:v>Các kết quả dẫn xuất chỉ là chuẩn hóa đơn vị hoặc trung điểm mô tả; không phải TAM, forecast hay ROI.</x:v>
      </x:c>
      <x:c r="B3" s="60"/>
      <x:c r="C3" s="60"/>
      <x:c r="D3" s="60"/>
      <x:c r="E3" s="60"/>
      <x:c r="F3" s="60"/>
      <x:c r="G3" s="60"/>
      <x:c r="H3" s="60"/>
      <x:c r="I3" s="60"/>
      <x:c r="J3" s="60"/>
    </x:row>
    <x:row r="4">
      <x:c r="A4" s="61"/>
      <x:c r="B4" s="61"/>
      <x:c r="C4" s="61"/>
      <x:c r="D4" s="61"/>
      <x:c r="E4" s="61"/>
      <x:c r="F4" s="61"/>
      <x:c r="G4" s="61"/>
      <x:c r="H4" s="61"/>
      <x:c r="I4" s="61"/>
      <x:c r="J4" s="61"/>
    </x:row>
    <x:row r="5" ht="44" customHeight="1">
      <x:c r="A5" s="66" t="str">
        <x:v>Calc ID</x:v>
      </x:c>
      <x:c r="B5" s="66" t="str">
        <x:v>Chỉ tiêu</x:v>
      </x:c>
      <x:c r="C5" s="66" t="str">
        <x:v>Input thấp/gốc</x:v>
      </x:c>
      <x:c r="D5" s="66" t="str">
        <x:v>Input cao/hệ số</x:v>
      </x:c>
      <x:c r="E5" s="66" t="str">
        <x:v>Đơn vị input</x:v>
      </x:c>
      <x:c r="F5" s="66" t="str">
        <x:v>Công thức</x:v>
      </x:c>
      <x:c r="G5" s="66" t="str">
        <x:v>Kết quả</x:v>
      </x:c>
      <x:c r="H5" s="66" t="str">
        <x:v>Đơn vị output</x:v>
      </x:c>
      <x:c r="I5" s="66" t="str">
        <x:v>Cách dùng đúng</x:v>
      </x:c>
      <x:c r="J5" s="66" t="str">
        <x:v>Nguồn</x:v>
      </x:c>
    </x:row>
    <x:row r="6" ht="52" customHeight="1">
      <x:c r="A6" s="84" t="str">
        <x:v>C01</x:v>
      </x:c>
      <x:c r="B6" s="67" t="str">
        <x:v>Quy đổi khối lượng vận tải</x:v>
      </x:c>
      <x:c r="C6" s="69" t="n">
        <x:v>3027.7</x:v>
      </x:c>
      <x:c r="D6" s="69" t="n">
        <x:v>1000000</x:v>
      </x:c>
      <x:c r="E6" s="67" t="str">
        <x:v>triệu tấn x hệ số</x:v>
      </x:c>
      <x:c r="F6" s="67" t="str">
        <x:v>Input gốc x 1.000.000</x:v>
      </x:c>
      <x:c r="G6" s="90" t="n">
        <x:f>C6*D6</x:f>
        <x:v>3027700000</x:v>
      </x:c>
      <x:c r="H6" s="67" t="str">
        <x:v>tấn</x:v>
      </x:c>
      <x:c r="I6" s="67" t="str">
        <x:v>Chuẩn hóa đơn vị; không phải số xe</x:v>
      </x:c>
      <x:c r="J6" s="67" t="str">
        <x:v>S02</x:v>
      </x:c>
    </x:row>
    <x:row r="7" ht="52" customHeight="1">
      <x:c r="A7" s="84" t="str">
        <x:v>C02</x:v>
      </x:c>
      <x:c r="B7" s="67" t="str">
        <x:v>Trung điểm khoảng quy mô logistics</x:v>
      </x:c>
      <x:c r="C7" s="69" t="n">
        <x:v>45</x:v>
      </x:c>
      <x:c r="D7" s="69" t="n">
        <x:v>50</x:v>
      </x:c>
      <x:c r="E7" s="67" t="str">
        <x:v>tỷ USD</x:v>
      </x:c>
      <x:c r="F7" s="67" t="str">
        <x:v>AVERAGE(cận dưới, cận trên)</x:v>
      </x:c>
      <x:c r="G7" s="91" t="n">
        <x:f>AVERAGE(C7:D7)</x:f>
        <x:v>47.5</x:v>
      </x:c>
      <x:c r="H7" s="67" t="str">
        <x:v>tỷ USD</x:v>
      </x:c>
      <x:c r="I7" s="67" t="str">
        <x:v>Mô tả trung điểm của khoảng nguồn; không phải TAM</x:v>
      </x:c>
      <x:c r="J7" s="67" t="str">
        <x:v>S03</x:v>
      </x:c>
    </x:row>
    <x:row r="8" ht="52" customHeight="1">
      <x:c r="A8" s="84" t="str">
        <x:v>C03</x:v>
      </x:c>
      <x:c r="B8" s="67" t="str">
        <x:v>Trung điểm khoảng tăng trưởng logistics</x:v>
      </x:c>
      <x:c r="C8" s="70" t="n">
        <x:v>0.14</x:v>
      </x:c>
      <x:c r="D8" s="70" t="n">
        <x:v>0.16</x:v>
      </x:c>
      <x:c r="E8" s="67" t="str">
        <x:v>%/năm</x:v>
      </x:c>
      <x:c r="F8" s="67" t="str">
        <x:v>AVERAGE(cận dưới, cận trên)</x:v>
      </x:c>
      <x:c r="G8" s="92" t="n">
        <x:f>AVERAGE(C8:D8)</x:f>
        <x:v>0.15000000000000002</x:v>
      </x:c>
      <x:c r="H8" s="67" t="str">
        <x:v>%/năm</x:v>
      </x:c>
      <x:c r="I8" s="67" t="str">
        <x:v>Mô tả trung điểm của khoảng nguồn</x:v>
      </x:c>
      <x:c r="J8" s="67" t="str">
        <x:v>S03</x:v>
      </x:c>
    </x:row>
    <x:row r="9" ht="52" customHeight="1">
      <x:c r="A9" s="84" t="str">
        <x:v>C04</x:v>
      </x:c>
      <x:c r="B9" s="67" t="str">
        <x:v>Số vụ tai nạn</x:v>
      </x:c>
      <x:c r="C9" s="68" t="n">
        <x:v>18615</x:v>
      </x:c>
      <x:c r="D9" s="67"/>
      <x:c r="E9" s="67" t="str">
        <x:v>vụ</x:v>
      </x:c>
      <x:c r="F9" s="67" t="str">
        <x:v>Giữ nguyên nguồn</x:v>
      </x:c>
      <x:c r="G9" s="90" t="n">
        <x:f>C9</x:f>
        <x:v>18615</x:v>
      </x:c>
      <x:c r="H9" s="67" t="str">
        <x:v>vụ</x:v>
      </x:c>
      <x:c r="I9" s="67" t="str">
        <x:v>Bối cảnh an toàn giao thông</x:v>
      </x:c>
      <x:c r="J9" s="67" t="str">
        <x:v>S01</x:v>
      </x:c>
    </x:row>
    <x:row r="10" ht="52" customHeight="1">
      <x:c r="A10" s="84" t="str">
        <x:v>C05</x:v>
      </x:c>
      <x:c r="B10" s="67" t="str">
        <x:v>Số người chết</x:v>
      </x:c>
      <x:c r="C10" s="68" t="n">
        <x:v>10527</x:v>
      </x:c>
      <x:c r="D10" s="67"/>
      <x:c r="E10" s="67" t="str">
        <x:v>người</x:v>
      </x:c>
      <x:c r="F10" s="67" t="str">
        <x:v>Giữ nguyên nguồn</x:v>
      </x:c>
      <x:c r="G10" s="90" t="n">
        <x:f>C10</x:f>
        <x:v>10527</x:v>
      </x:c>
      <x:c r="H10" s="67" t="str">
        <x:v>người</x:v>
      </x:c>
      <x:c r="I10" s="67" t="str">
        <x:v>Bối cảnh an toàn giao thông</x:v>
      </x:c>
      <x:c r="J10" s="67" t="str">
        <x:v>S01</x:v>
      </x:c>
    </x:row>
    <x:row r="11" ht="52" customHeight="1">
      <x:c r="A11" s="84" t="str">
        <x:v>C06</x:v>
      </x:c>
      <x:c r="B11" s="67" t="str">
        <x:v>Số người bị thương</x:v>
      </x:c>
      <x:c r="C11" s="68" t="n">
        <x:v>12294</x:v>
      </x:c>
      <x:c r="D11" s="67"/>
      <x:c r="E11" s="67" t="str">
        <x:v>người</x:v>
      </x:c>
      <x:c r="F11" s="67" t="str">
        <x:v>Giữ nguyên nguồn</x:v>
      </x:c>
      <x:c r="G11" s="90" t="n">
        <x:f>C11</x:f>
        <x:v>12294</x:v>
      </x:c>
      <x:c r="H11" s="67" t="str">
        <x:v>người</x:v>
      </x:c>
      <x:c r="I11" s="67" t="str">
        <x:v>Bối cảnh an toàn giao thông</x:v>
      </x:c>
      <x:c r="J11" s="67" t="str">
        <x:v>S01</x:v>
      </x:c>
    </x:row>
    <x:row r="12">
      <x:c r="A12" s="61"/>
      <x:c r="B12" s="61"/>
      <x:c r="C12" s="61"/>
      <x:c r="D12" s="61"/>
      <x:c r="E12" s="61"/>
      <x:c r="F12" s="61"/>
      <x:c r="G12" s="61"/>
      <x:c r="H12" s="61"/>
      <x:c r="I12" s="61"/>
      <x:c r="J12" s="61"/>
    </x:row>
    <x:row r="13">
      <x:c r="A13" s="71" t="str">
        <x:v>Cảnh báo: C02 và C03 chỉ tính trung điểm số học của khoảng do Bộ Công Thương công bố. Không sử dụng các kết quả này để suy ra số xe, lượng khách hàng, doanh thu, lợi ích tài chính hoặc ROI của FPTU DMS Vision.</x:v>
      </x:c>
      <x:c r="B13" s="72"/>
      <x:c r="C13" s="72"/>
      <x:c r="D13" s="72"/>
      <x:c r="E13" s="72"/>
      <x:c r="F13" s="72"/>
      <x:c r="G13" s="72"/>
      <x:c r="H13" s="72"/>
      <x:c r="I13" s="72"/>
      <x:c r="J13" s="73"/>
    </x:row>
    <x:row r="14">
      <x:c r="A14" s="74"/>
      <x:c r="B14" s="75"/>
      <x:c r="C14" s="75"/>
      <x:c r="D14" s="75"/>
      <x:c r="E14" s="75"/>
      <x:c r="F14" s="75"/>
      <x:c r="G14" s="75"/>
      <x:c r="H14" s="75"/>
      <x:c r="I14" s="75"/>
      <x:c r="J14" s="76"/>
    </x:row>
    <x:row r="15">
      <x:c r="A15" s="77"/>
      <x:c r="B15" s="78"/>
      <x:c r="C15" s="78"/>
      <x:c r="D15" s="78"/>
      <x:c r="E15" s="78"/>
      <x:c r="F15" s="78"/>
      <x:c r="G15" s="78"/>
      <x:c r="H15" s="78"/>
      <x:c r="I15" s="78"/>
      <x:c r="J15" s="79"/>
    </x:row>
  </x:sheetData>
  <x:mergeCells>
    <x:mergeCell ref="A1:J2"/>
    <x:mergeCell ref="A3:J3"/>
    <x:mergeCell ref="A13:J15"/>
  </x:mergeCells>
  <x:pageMargins left="0.7" right="0.7" top="0.75" bottom="0.75" header="0.3" footer="0.3"/>
</x:worksheet>
</file>